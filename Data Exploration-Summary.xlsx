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d.docs.live.net/f58f905ade0c4dd8/Parkavi/"/>
    </mc:Choice>
  </mc:AlternateContent>
  <xr:revisionPtr revIDLastSave="15" documentId="8_{9A1AB6ED-EC25-4AE4-94DD-9C5E066FE81C}" xr6:coauthVersionLast="47" xr6:coauthVersionMax="47" xr10:uidLastSave="{D2F40F43-3EE1-428B-9118-54965B8EB146}"/>
  <bookViews>
    <workbookView xWindow="-108" yWindow="-108" windowWidth="23256" windowHeight="12456" activeTab="1" xr2:uid="{00000000-000D-0000-FFFF-FFFF00000000}"/>
  </bookViews>
  <sheets>
    <sheet name="Dataset" sheetId="1" r:id="rId1"/>
    <sheet name="Summary of Sales data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5" roundtripDataChecksum="hJb8T1ZghnA6qFS/bC5j8xshLTM/vtIaNva7vzkMTCI="/>
    </ext>
  </extLst>
</workbook>
</file>

<file path=xl/calcChain.xml><?xml version="1.0" encoding="utf-8"?>
<calcChain xmlns="http://schemas.openxmlformats.org/spreadsheetml/2006/main">
  <c r="M30" i="2" l="1"/>
  <c r="N27" i="2"/>
  <c r="N26" i="2"/>
  <c r="N25" i="2"/>
  <c r="N24" i="2"/>
  <c r="N23" i="2"/>
  <c r="N19" i="2"/>
  <c r="N18" i="2"/>
  <c r="M10" i="2"/>
  <c r="M14" i="2"/>
  <c r="M13" i="2"/>
  <c r="M12" i="2"/>
  <c r="M11" i="2"/>
  <c r="N7" i="2"/>
  <c r="N6" i="2"/>
  <c r="N5" i="2"/>
  <c r="N28" i="2" l="1"/>
  <c r="M15" i="2"/>
</calcChain>
</file>

<file path=xl/sharedStrings.xml><?xml version="1.0" encoding="utf-8"?>
<sst xmlns="http://schemas.openxmlformats.org/spreadsheetml/2006/main" count="419" uniqueCount="137">
  <si>
    <t>Product ID</t>
  </si>
  <si>
    <t>Product Name</t>
  </si>
  <si>
    <t>Brand Name</t>
  </si>
  <si>
    <t>Price ($)</t>
  </si>
  <si>
    <t>Quantity</t>
  </si>
  <si>
    <t>Category</t>
  </si>
  <si>
    <t>28-JAN-US</t>
  </si>
  <si>
    <t>Laptop</t>
  </si>
  <si>
    <t>Dell</t>
  </si>
  <si>
    <t>Electronics</t>
  </si>
  <si>
    <t>15-FEB-US</t>
  </si>
  <si>
    <t>Sneakers</t>
  </si>
  <si>
    <t>Nike</t>
  </si>
  <si>
    <t>Fashion</t>
  </si>
  <si>
    <t>03-MAR-US</t>
  </si>
  <si>
    <t>Coffee Maker</t>
  </si>
  <si>
    <t>Keurig</t>
  </si>
  <si>
    <t>Kitchen</t>
  </si>
  <si>
    <t>11-APR-US</t>
  </si>
  <si>
    <t>Smartphone</t>
  </si>
  <si>
    <t>Samsung</t>
  </si>
  <si>
    <t>22-MAY-US</t>
  </si>
  <si>
    <t>Backpack</t>
  </si>
  <si>
    <t>North Face</t>
  </si>
  <si>
    <t>Outdoor</t>
  </si>
  <si>
    <t>07-JUN-UK</t>
  </si>
  <si>
    <t>Headphones</t>
  </si>
  <si>
    <t>Sony</t>
  </si>
  <si>
    <t>19-JUL-UK</t>
  </si>
  <si>
    <t>T-shirt</t>
  </si>
  <si>
    <t>Adidas</t>
  </si>
  <si>
    <t>23-AUG-UK</t>
  </si>
  <si>
    <t>Blender</t>
  </si>
  <si>
    <t>Ninja</t>
  </si>
  <si>
    <t>05-SEP-UK</t>
  </si>
  <si>
    <t>Tablet</t>
  </si>
  <si>
    <t>Apple</t>
  </si>
  <si>
    <t>14-OCT-UK</t>
  </si>
  <si>
    <t>Hiking Boots</t>
  </si>
  <si>
    <t>Timberland</t>
  </si>
  <si>
    <t>17-JUN-IN</t>
  </si>
  <si>
    <t>HP</t>
  </si>
  <si>
    <t>25-NOV-AU</t>
  </si>
  <si>
    <t>08-DEC-DE</t>
  </si>
  <si>
    <t>Nespresso</t>
  </si>
  <si>
    <t>18-FEB-CA</t>
  </si>
  <si>
    <t>Smartwatch</t>
  </si>
  <si>
    <t>Fitbit</t>
  </si>
  <si>
    <t>16-APR-ES</t>
  </si>
  <si>
    <t>Bose</t>
  </si>
  <si>
    <t>21-AUG-CA</t>
  </si>
  <si>
    <t>Laptop Bag</t>
  </si>
  <si>
    <t>Samsonite</t>
  </si>
  <si>
    <t>Accessories</t>
  </si>
  <si>
    <t>20-AUG-CN</t>
  </si>
  <si>
    <t>Huawei</t>
  </si>
  <si>
    <t>27-JAN-IT</t>
  </si>
  <si>
    <t>Asus</t>
  </si>
  <si>
    <t>01-MAR-UK</t>
  </si>
  <si>
    <t>Sunglasses</t>
  </si>
  <si>
    <t>Oakley</t>
  </si>
  <si>
    <t>14-AUG-US</t>
  </si>
  <si>
    <t>Camping Tent</t>
  </si>
  <si>
    <t>Coleman</t>
  </si>
  <si>
    <t>14-MAY-RU</t>
  </si>
  <si>
    <t>Camera</t>
  </si>
  <si>
    <t>Nikon</t>
  </si>
  <si>
    <t>09-JAN-CA</t>
  </si>
  <si>
    <t>Microwave</t>
  </si>
  <si>
    <t>Panasonic</t>
  </si>
  <si>
    <t>19-JUL-BR</t>
  </si>
  <si>
    <t>Fitness Tracker</t>
  </si>
  <si>
    <t>Xiaomi</t>
  </si>
  <si>
    <t>29-SEP-CA</t>
  </si>
  <si>
    <t>Google</t>
  </si>
  <si>
    <t>03-JUN-CA</t>
  </si>
  <si>
    <t>Ray-Ban</t>
  </si>
  <si>
    <t>11-JUL-CA</t>
  </si>
  <si>
    <t>Vitamix</t>
  </si>
  <si>
    <t>07-MAR-CA</t>
  </si>
  <si>
    <t>Dress</t>
  </si>
  <si>
    <t>Zara</t>
  </si>
  <si>
    <t>13-APR-CA</t>
  </si>
  <si>
    <t>Toaster</t>
  </si>
  <si>
    <t>Hamilton</t>
  </si>
  <si>
    <t>24-MAY-CA</t>
  </si>
  <si>
    <t>Garmin</t>
  </si>
  <si>
    <t>02-DEC-CA</t>
  </si>
  <si>
    <t>Jeans</t>
  </si>
  <si>
    <t>Levi's</t>
  </si>
  <si>
    <t>09-JUL-FR</t>
  </si>
  <si>
    <t>Watch</t>
  </si>
  <si>
    <t>Casio</t>
  </si>
  <si>
    <t>Sum, Count, and Average</t>
  </si>
  <si>
    <t>Average price of products</t>
  </si>
  <si>
    <t>Total</t>
  </si>
  <si>
    <t>No.of products in the list</t>
  </si>
  <si>
    <t>Total price of all products</t>
  </si>
  <si>
    <t>Values</t>
  </si>
  <si>
    <t>With formula</t>
  </si>
  <si>
    <t>No.of products in the list by category</t>
  </si>
  <si>
    <t>Minimum and Maximum</t>
  </si>
  <si>
    <t>Minimum price among all products</t>
  </si>
  <si>
    <t>Maximum price among all products</t>
  </si>
  <si>
    <t>Price Category</t>
  </si>
  <si>
    <t>Total price of products</t>
  </si>
  <si>
    <t>Total No.of products</t>
  </si>
  <si>
    <t>Day</t>
  </si>
  <si>
    <t>Month</t>
  </si>
  <si>
    <t>Country code</t>
  </si>
  <si>
    <t>No.of products with a
less than $100.</t>
  </si>
  <si>
    <t>High price</t>
  </si>
  <si>
    <t>Standard price</t>
  </si>
  <si>
    <t>JAN</t>
  </si>
  <si>
    <t>US</t>
  </si>
  <si>
    <t>FEB</t>
  </si>
  <si>
    <t>MAR</t>
  </si>
  <si>
    <t>APR</t>
  </si>
  <si>
    <t>MAY</t>
  </si>
  <si>
    <t>JUN</t>
  </si>
  <si>
    <t>UK</t>
  </si>
  <si>
    <t>JUL</t>
  </si>
  <si>
    <t>AUG</t>
  </si>
  <si>
    <t>SEP</t>
  </si>
  <si>
    <t>OCT</t>
  </si>
  <si>
    <t>IN</t>
  </si>
  <si>
    <t>NOV</t>
  </si>
  <si>
    <t>AU</t>
  </si>
  <si>
    <t>DEC</t>
  </si>
  <si>
    <t>DE</t>
  </si>
  <si>
    <t>CA</t>
  </si>
  <si>
    <t>ES</t>
  </si>
  <si>
    <t>CN</t>
  </si>
  <si>
    <t>IT</t>
  </si>
  <si>
    <t>RU</t>
  </si>
  <si>
    <t>BR</t>
  </si>
  <si>
    <t>FR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</si>
</sst>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$-409]#,##0.00"/>
    <numFmt numFmtId="167" formatCode="[$$-409]#,##0.00_ ;[Red]\-[$$-409]#,##0.00\ "/>
  </numFmts>
  <fonts count="8" x14ac:knownFonts="1">
    <font>
      <sz val="10"/>
      <color rgb="FF000000"/>
      <name val="Arial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</font>
    <font>
      <b/>
      <sz val="10"/>
      <color rgb="FF000000"/>
      <name val="Arial"/>
      <family val="2"/>
      <scheme val="minor"/>
    </font>
    <font>
      <sz val="10"/>
      <color rgb="FF000000"/>
      <name val="Arial"/>
      <family val="2"/>
      <scheme val="minor"/>
    </font>
    <font>
      <b/>
      <sz val="10"/>
      <color theme="1"/>
      <name val="Arial"/>
      <family val="2"/>
    </font>
    <font>
      <sz val="8"/>
      <name val="Arial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4DD0E1"/>
        <bgColor rgb="FF4DD0E1"/>
      </patternFill>
    </fill>
    <fill>
      <patternFill patternType="solid">
        <fgColor rgb="FFE0F7FA"/>
        <bgColor rgb="FFE0F7FA"/>
      </patternFill>
    </fill>
    <fill>
      <patternFill patternType="solid">
        <fgColor rgb="FFFFFFFF"/>
        <bgColor rgb="FFFFFFFF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5" tint="0.59999389629810485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1">
    <xf numFmtId="0" fontId="0" fillId="0" borderId="0" xfId="0"/>
    <xf numFmtId="0" fontId="1" fillId="2" borderId="0" xfId="0" applyFont="1" applyFill="1" applyAlignment="1">
      <alignment horizontal="center"/>
    </xf>
    <xf numFmtId="0" fontId="1" fillId="0" borderId="0" xfId="0" applyFont="1" applyAlignment="1">
      <alignment horizontal="center"/>
    </xf>
    <xf numFmtId="0" fontId="2" fillId="0" borderId="0" xfId="0" applyFont="1"/>
    <xf numFmtId="0" fontId="2" fillId="3" borderId="0" xfId="0" applyFont="1" applyFill="1"/>
    <xf numFmtId="0" fontId="2" fillId="4" borderId="0" xfId="0" applyFont="1" applyFill="1"/>
    <xf numFmtId="0" fontId="0" fillId="0" borderId="0" xfId="0" applyAlignment="1">
      <alignment vertical="center"/>
    </xf>
    <xf numFmtId="0" fontId="2" fillId="0" borderId="1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5" borderId="4" xfId="0" applyFont="1" applyFill="1" applyBorder="1" applyAlignment="1">
      <alignment horizontal="center" vertical="center"/>
    </xf>
    <xf numFmtId="0" fontId="1" fillId="5" borderId="5" xfId="0" applyFont="1" applyFill="1" applyBorder="1" applyAlignment="1">
      <alignment horizontal="center" vertical="center"/>
    </xf>
    <xf numFmtId="0" fontId="1" fillId="5" borderId="6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0" fontId="4" fillId="0" borderId="0" xfId="0" applyFont="1" applyAlignment="1">
      <alignment vertical="center"/>
    </xf>
    <xf numFmtId="0" fontId="6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6" fillId="5" borderId="1" xfId="0" applyFont="1" applyFill="1" applyBorder="1" applyAlignment="1">
      <alignment horizontal="center" vertical="center"/>
    </xf>
    <xf numFmtId="0" fontId="3" fillId="0" borderId="0" xfId="0" applyFont="1" applyAlignment="1">
      <alignment horizontal="center"/>
    </xf>
    <xf numFmtId="0" fontId="6" fillId="5" borderId="5" xfId="0" applyFont="1" applyFill="1" applyBorder="1" applyAlignment="1">
      <alignment horizontal="center" vertical="center"/>
    </xf>
    <xf numFmtId="0" fontId="6" fillId="0" borderId="1" xfId="0" applyFont="1" applyBorder="1" applyAlignment="1">
      <alignment horizontal="center" vertical="center" wrapText="1"/>
    </xf>
    <xf numFmtId="0" fontId="0" fillId="0" borderId="3" xfId="0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  <xf numFmtId="0" fontId="2" fillId="6" borderId="8" xfId="0" applyFont="1" applyFill="1" applyBorder="1" applyAlignment="1">
      <alignment horizontal="center" vertical="center"/>
    </xf>
    <xf numFmtId="0" fontId="4" fillId="5" borderId="3" xfId="0" applyFont="1" applyFill="1" applyBorder="1" applyAlignment="1">
      <alignment horizontal="center" vertical="center"/>
    </xf>
    <xf numFmtId="0" fontId="4" fillId="5" borderId="2" xfId="0" applyFont="1" applyFill="1" applyBorder="1" applyAlignment="1">
      <alignment horizontal="center" vertical="center"/>
    </xf>
    <xf numFmtId="0" fontId="4" fillId="5" borderId="10" xfId="0" applyFont="1" applyFill="1" applyBorder="1" applyAlignment="1">
      <alignment horizontal="center" vertical="center"/>
    </xf>
    <xf numFmtId="167" fontId="0" fillId="0" borderId="1" xfId="0" applyNumberFormat="1" applyBorder="1" applyAlignment="1">
      <alignment horizontal="center" vertical="center"/>
    </xf>
    <xf numFmtId="164" fontId="6" fillId="0" borderId="1" xfId="0" applyNumberFormat="1" applyFont="1" applyBorder="1" applyAlignment="1">
      <alignment horizontal="center" vertical="center"/>
    </xf>
    <xf numFmtId="164" fontId="4" fillId="5" borderId="1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24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numFmt numFmtId="0" formatCode="General"/>
      <fill>
        <patternFill patternType="solid">
          <fgColor indexed="64"/>
          <bgColor theme="5" tint="0.5999938962981048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numFmt numFmtId="0" formatCode="General"/>
      <fill>
        <patternFill patternType="solid">
          <fgColor indexed="64"/>
          <bgColor theme="5" tint="0.5999938962981048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numFmt numFmtId="0" formatCode="General"/>
      <fill>
        <patternFill patternType="solid">
          <fgColor indexed="64"/>
          <bgColor theme="5" tint="0.5999938962981048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numFmt numFmtId="0" formatCode="General"/>
      <fill>
        <patternFill patternType="solid">
          <fgColor indexed="64"/>
          <bgColor theme="5" tint="0.5999938962981048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indexed="64"/>
          <bgColor theme="9" tint="-0.249977111117893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9" Type="http://schemas.openxmlformats.org/officeDocument/2006/relationships/calcChain" Target="calcChain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0</xdr:colOff>
      <xdr:row>1</xdr:row>
      <xdr:rowOff>137160</xdr:rowOff>
    </xdr:from>
    <xdr:to>
      <xdr:col>19</xdr:col>
      <xdr:colOff>891540</xdr:colOff>
      <xdr:row>8</xdr:row>
      <xdr:rowOff>152400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8C48D699-C1A8-A469-54EA-3A348D7D5089}"/>
            </a:ext>
          </a:extLst>
        </xdr:cNvPr>
        <xdr:cNvSpPr txBox="1"/>
      </xdr:nvSpPr>
      <xdr:spPr>
        <a:xfrm>
          <a:off x="19852640" y="309880"/>
          <a:ext cx="5605780" cy="122428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11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Sum, Count, and Average</a:t>
          </a:r>
          <a:r>
            <a:rPr lang="en-IN">
              <a:effectLst/>
            </a:rPr>
            <a:t> </a:t>
          </a:r>
          <a:r>
            <a:rPr lang="en-IN" b="1">
              <a:effectLst/>
            </a:rPr>
            <a:t>formulas</a:t>
          </a:r>
        </a:p>
        <a:p>
          <a:r>
            <a:rPr lang="en-IN" sz="1100">
              <a:effectLst/>
            </a:rPr>
            <a:t>Coverted</a:t>
          </a:r>
          <a:r>
            <a:rPr lang="en-IN" sz="1100" baseline="0">
              <a:effectLst/>
            </a:rPr>
            <a:t> the data set into Table format to </a:t>
          </a:r>
          <a:r>
            <a:rPr lang="en-IN" sz="1100" b="1" baseline="0">
              <a:effectLst/>
            </a:rPr>
            <a:t>expands the formula automatically</a:t>
          </a:r>
        </a:p>
        <a:p>
          <a:r>
            <a:rPr lang="en-IN" sz="1100" b="0" baseline="0">
              <a:effectLst/>
            </a:rPr>
            <a:t>Named as </a:t>
          </a:r>
          <a:r>
            <a:rPr lang="en-IN" sz="1100" b="1" baseline="0">
              <a:effectLst/>
            </a:rPr>
            <a:t>Sales_Data</a:t>
          </a:r>
        </a:p>
        <a:p>
          <a:endParaRPr lang="en-IN" sz="1100" b="1" baseline="0">
            <a:effectLst/>
          </a:endParaRPr>
        </a:p>
        <a:p>
          <a:r>
            <a:rPr lang="en-IN" sz="1100" baseline="0">
              <a:effectLst/>
            </a:rPr>
            <a:t>Total price=</a:t>
          </a:r>
          <a:r>
            <a:rPr lang="en-IN" sz="1100" b="1" baseline="0">
              <a:effectLst/>
            </a:rPr>
            <a:t>SUM(Sales_Data[Price ($)])</a:t>
          </a:r>
        </a:p>
        <a:p>
          <a:r>
            <a:rPr lang="en-IN" sz="1100" baseline="0">
              <a:effectLst/>
            </a:rPr>
            <a:t>No .of products in thelist=</a:t>
          </a:r>
          <a:r>
            <a:rPr lang="en-IN" sz="1100" b="1" baseline="0">
              <a:effectLst/>
            </a:rPr>
            <a:t>COUNTA(Sales_Data[Product Name])</a:t>
          </a:r>
        </a:p>
        <a:p>
          <a:r>
            <a:rPr lang="en-IN" sz="1100"/>
            <a:t>Average</a:t>
          </a:r>
          <a:r>
            <a:rPr lang="en-IN" sz="1100" baseline="0"/>
            <a:t> price of all products </a:t>
          </a:r>
          <a:r>
            <a:rPr lang="en-IN" sz="1100"/>
            <a:t>=</a:t>
          </a:r>
          <a:r>
            <a:rPr lang="en-IN" sz="1100" b="1"/>
            <a:t>AVERAGE(Sales_Data[Price ($)])</a:t>
          </a:r>
        </a:p>
      </xdr:txBody>
    </xdr:sp>
    <xdr:clientData/>
  </xdr:twoCellAnchor>
  <xdr:twoCellAnchor>
    <xdr:from>
      <xdr:col>15</xdr:col>
      <xdr:colOff>15240</xdr:colOff>
      <xdr:row>11</xdr:row>
      <xdr:rowOff>53340</xdr:rowOff>
    </xdr:from>
    <xdr:to>
      <xdr:col>19</xdr:col>
      <xdr:colOff>899160</xdr:colOff>
      <xdr:row>13</xdr:row>
      <xdr:rowOff>144780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D7D50C82-A26C-353B-4B32-DCCCE1A67FC3}"/>
            </a:ext>
          </a:extLst>
        </xdr:cNvPr>
        <xdr:cNvSpPr txBox="1"/>
      </xdr:nvSpPr>
      <xdr:spPr>
        <a:xfrm>
          <a:off x="15499080" y="1897380"/>
          <a:ext cx="5608320" cy="42672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1100"/>
            <a:t>Product</a:t>
          </a:r>
          <a:r>
            <a:rPr lang="en-IN" sz="1100" baseline="0"/>
            <a:t> count based on category</a:t>
          </a:r>
          <a:r>
            <a:rPr lang="en-IN" sz="1100"/>
            <a:t>=</a:t>
          </a:r>
          <a:r>
            <a:rPr lang="en-IN" sz="1100" b="1"/>
            <a:t>COUNTIF(Sales_Data[Category],"Category</a:t>
          </a:r>
          <a:r>
            <a:rPr lang="en-IN" sz="1100" b="1" baseline="0"/>
            <a:t> name</a:t>
          </a:r>
          <a:r>
            <a:rPr lang="en-IN" sz="1100" b="1"/>
            <a:t>")</a:t>
          </a:r>
        </a:p>
      </xdr:txBody>
    </xdr:sp>
    <xdr:clientData/>
  </xdr:twoCellAnchor>
  <xdr:twoCellAnchor>
    <xdr:from>
      <xdr:col>15</xdr:col>
      <xdr:colOff>7620</xdr:colOff>
      <xdr:row>15</xdr:row>
      <xdr:rowOff>160020</xdr:rowOff>
    </xdr:from>
    <xdr:to>
      <xdr:col>19</xdr:col>
      <xdr:colOff>922020</xdr:colOff>
      <xdr:row>19</xdr:row>
      <xdr:rowOff>60960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0C343D78-B2C8-CA8B-CCAC-382118659ECE}"/>
            </a:ext>
          </a:extLst>
        </xdr:cNvPr>
        <xdr:cNvSpPr txBox="1"/>
      </xdr:nvSpPr>
      <xdr:spPr>
        <a:xfrm>
          <a:off x="15491460" y="2674620"/>
          <a:ext cx="5638800" cy="5715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1100"/>
            <a:t>Minimum Price=</a:t>
          </a:r>
          <a:r>
            <a:rPr lang="en-IN" sz="1100" b="1"/>
            <a:t>MIN(Sales_Data[Price ($)])</a:t>
          </a:r>
        </a:p>
        <a:p>
          <a:r>
            <a:rPr lang="en-IN" sz="1100"/>
            <a:t>Maximum Price=</a:t>
          </a:r>
          <a:r>
            <a:rPr lang="en-IN" sz="1100" b="1"/>
            <a:t>MAX(Sales_Data[Price ($)])</a:t>
          </a:r>
        </a:p>
      </xdr:txBody>
    </xdr:sp>
    <xdr:clientData/>
  </xdr:twoCellAnchor>
  <xdr:twoCellAnchor>
    <xdr:from>
      <xdr:col>14</xdr:col>
      <xdr:colOff>1165860</xdr:colOff>
      <xdr:row>21</xdr:row>
      <xdr:rowOff>156210</xdr:rowOff>
    </xdr:from>
    <xdr:to>
      <xdr:col>19</xdr:col>
      <xdr:colOff>1021080</xdr:colOff>
      <xdr:row>27</xdr:row>
      <xdr:rowOff>160020</xdr:rowOff>
    </xdr:to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D797EC7A-6714-45B3-BC69-56C99283C325}"/>
            </a:ext>
          </a:extLst>
        </xdr:cNvPr>
        <xdr:cNvSpPr txBox="1"/>
      </xdr:nvSpPr>
      <xdr:spPr>
        <a:xfrm>
          <a:off x="15468600" y="3676650"/>
          <a:ext cx="5760720" cy="10096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1100"/>
            <a:t>Logical</a:t>
          </a:r>
          <a:r>
            <a:rPr lang="en-IN" sz="1100" baseline="0"/>
            <a:t> function is projected in the Table under </a:t>
          </a:r>
          <a:r>
            <a:rPr lang="en-IN" sz="1100" b="1" baseline="0"/>
            <a:t>Price category</a:t>
          </a:r>
          <a:r>
            <a:rPr lang="en-IN" sz="1100" baseline="0"/>
            <a:t>:</a:t>
          </a:r>
        </a:p>
        <a:p>
          <a:r>
            <a:rPr lang="en-IN" sz="1100" baseline="0"/>
            <a:t>Formula = </a:t>
          </a:r>
          <a:r>
            <a:rPr lang="en-IN" sz="1100" b="1" baseline="0"/>
            <a:t>IF([@[Price ($)]]&gt;=500,"High price", "Standard price")</a:t>
          </a:r>
        </a:p>
        <a:p>
          <a:endParaRPr lang="en-IN" sz="1100" b="1"/>
        </a:p>
        <a:p>
          <a:r>
            <a:rPr lang="en-IN" sz="1100" b="0"/>
            <a:t>Total</a:t>
          </a:r>
          <a:r>
            <a:rPr lang="en-IN" sz="1100" b="0" baseline="0"/>
            <a:t> price of products by category =</a:t>
          </a:r>
          <a:r>
            <a:rPr lang="en-IN" sz="1100" b="1" baseline="0"/>
            <a:t>SUMIF(Sales_Data[Category],"Electronics",Sales_Data[Price ($)])</a:t>
          </a:r>
          <a:endParaRPr lang="en-IN" sz="1100" b="1"/>
        </a:p>
      </xdr:txBody>
    </xdr:sp>
    <xdr:clientData/>
  </xdr:twoCellAnchor>
  <xdr:twoCellAnchor>
    <xdr:from>
      <xdr:col>14</xdr:col>
      <xdr:colOff>1148080</xdr:colOff>
      <xdr:row>29</xdr:row>
      <xdr:rowOff>30480</xdr:rowOff>
    </xdr:from>
    <xdr:to>
      <xdr:col>19</xdr:col>
      <xdr:colOff>955040</xdr:colOff>
      <xdr:row>34</xdr:row>
      <xdr:rowOff>152400</xdr:rowOff>
    </xdr:to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7C834512-C281-D6A8-98F4-4716689AFB26}"/>
            </a:ext>
          </a:extLst>
        </xdr:cNvPr>
        <xdr:cNvSpPr txBox="1"/>
      </xdr:nvSpPr>
      <xdr:spPr>
        <a:xfrm>
          <a:off x="19822160" y="5039360"/>
          <a:ext cx="5699760" cy="114808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1100" b="1"/>
            <a:t>Text Formatting functions:	</a:t>
          </a:r>
        </a:p>
        <a:p>
          <a:endParaRPr lang="en-IN" sz="1100" b="0"/>
        </a:p>
        <a:p>
          <a:r>
            <a:rPr lang="en-IN" sz="1100" b="0"/>
            <a:t>Extract</a:t>
          </a:r>
          <a:r>
            <a:rPr lang="en-IN" sz="1100" b="0" baseline="0"/>
            <a:t> day=</a:t>
          </a:r>
          <a:r>
            <a:rPr lang="en-IN" sz="1100" b="1" baseline="0"/>
            <a:t>LEFT([@[Product ID]],2)</a:t>
          </a:r>
        </a:p>
        <a:p>
          <a:r>
            <a:rPr lang="en-IN" sz="1100" b="0" baseline="0"/>
            <a:t>Extract Month=</a:t>
          </a:r>
          <a:r>
            <a:rPr lang="en-IN" sz="1100" b="1" baseline="0"/>
            <a:t>MID([@[Product ID]],4,3)</a:t>
          </a:r>
        </a:p>
        <a:p>
          <a:r>
            <a:rPr lang="en-IN" sz="1100" b="0" baseline="0"/>
            <a:t>Extract country-code=</a:t>
          </a:r>
          <a:r>
            <a:rPr lang="en-IN" sz="1100" b="1" baseline="0"/>
            <a:t>RIGHT([@[Product ID]],2)</a:t>
          </a:r>
          <a:endParaRPr lang="en-IN" sz="1100" b="1"/>
        </a:p>
      </xdr:txBody>
    </xdr:sp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5C89385-FBF4-4D45-9822-B216BB4E8C4D}" name="Sales_Data" displayName="Sales_Data" ref="A1:J35" totalsRowShown="0" headerRowDxfId="23" dataDxfId="21" headerRowBorderDxfId="22" tableBorderDxfId="20" totalsRowBorderDxfId="19">
  <autoFilter ref="A1:J35" xr:uid="{05C89385-FBF4-4D45-9822-B216BB4E8C4D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</autoFilter>
  <tableColumns count="10">
    <tableColumn id="1" xr3:uid="{9E4CEC2E-44B3-458D-B79C-6BE90C351E39}" name="Product ID" dataDxfId="18" totalsRowDxfId="17"/>
    <tableColumn id="8" xr3:uid="{F881C440-F4E6-4766-9253-11A13D1D5768}" name="Day" dataDxfId="16" totalsRowDxfId="15"/>
    <tableColumn id="9" xr3:uid="{319B09E0-EB17-4733-A07E-EC35EB32C44C}" name="Month" dataDxfId="14" totalsRowDxfId="13"/>
    <tableColumn id="10" xr3:uid="{544E8E3F-788E-4627-B07E-20304BD39F14}" name="Country code" dataDxfId="12" totalsRowDxfId="11"/>
    <tableColumn id="2" xr3:uid="{DB4BCF57-08AA-488E-A127-1DF3E6EBA3CA}" name="Product Name" dataDxfId="10" totalsRowDxfId="9"/>
    <tableColumn id="3" xr3:uid="{6F87504D-682B-4C9E-BC62-61299DA783E7}" name="Brand Name" dataDxfId="8" totalsRowDxfId="7"/>
    <tableColumn id="4" xr3:uid="{1601680C-C85F-4E24-9905-FA330E2B8A86}" name="Price ($)" dataDxfId="6" totalsRowDxfId="5"/>
    <tableColumn id="7" xr3:uid="{C3FE631A-F96C-4BD9-B2FA-C6C4A3132EB5}" name="Price Category" dataDxfId="4" totalsRowDxfId="3"/>
    <tableColumn id="5" xr3:uid="{BC0AA0A0-AAF0-4BEF-A14F-F62A12FD8AF7}" name="Quantity" dataDxfId="2"/>
    <tableColumn id="6" xr3:uid="{010B1B7A-94F3-4D75-917E-290184286007}" name="Category" dataDxfId="1" totalsRowDxfId="0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G1000"/>
  <sheetViews>
    <sheetView topLeftCell="A14" workbookViewId="0">
      <selection activeCell="B18" sqref="B18"/>
    </sheetView>
  </sheetViews>
  <sheetFormatPr defaultColWidth="12.6640625" defaultRowHeight="15" customHeight="1" x14ac:dyDescent="0.25"/>
  <cols>
    <col min="2" max="2" width="14.109375" customWidth="1"/>
  </cols>
  <sheetData>
    <row r="1" spans="1:7" ht="15.7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/>
    </row>
    <row r="2" spans="1:7" ht="15.75" customHeight="1" x14ac:dyDescent="0.25">
      <c r="A2" s="3" t="s">
        <v>6</v>
      </c>
      <c r="B2" s="3" t="s">
        <v>7</v>
      </c>
      <c r="C2" s="3" t="s">
        <v>8</v>
      </c>
      <c r="D2" s="3">
        <v>1000</v>
      </c>
      <c r="E2" s="3">
        <v>30</v>
      </c>
      <c r="F2" s="3" t="s">
        <v>9</v>
      </c>
      <c r="G2" s="3"/>
    </row>
    <row r="3" spans="1:7" ht="15.75" customHeight="1" x14ac:dyDescent="0.25">
      <c r="A3" s="4" t="s">
        <v>10</v>
      </c>
      <c r="B3" s="4" t="s">
        <v>11</v>
      </c>
      <c r="C3" s="4" t="s">
        <v>12</v>
      </c>
      <c r="D3" s="4">
        <v>80</v>
      </c>
      <c r="E3" s="4">
        <v>15</v>
      </c>
      <c r="F3" s="4" t="s">
        <v>13</v>
      </c>
      <c r="G3" s="3"/>
    </row>
    <row r="4" spans="1:7" ht="15.75" customHeight="1" x14ac:dyDescent="0.25">
      <c r="A4" s="3" t="s">
        <v>14</v>
      </c>
      <c r="B4" s="3" t="s">
        <v>15</v>
      </c>
      <c r="C4" s="3" t="s">
        <v>16</v>
      </c>
      <c r="D4" s="3">
        <v>130</v>
      </c>
      <c r="E4" s="3">
        <v>40</v>
      </c>
      <c r="F4" s="3" t="s">
        <v>17</v>
      </c>
      <c r="G4" s="3"/>
    </row>
    <row r="5" spans="1:7" ht="15.75" customHeight="1" x14ac:dyDescent="0.25">
      <c r="A5" s="4" t="s">
        <v>18</v>
      </c>
      <c r="B5" s="4" t="s">
        <v>19</v>
      </c>
      <c r="C5" s="4" t="s">
        <v>20</v>
      </c>
      <c r="D5" s="4">
        <v>900</v>
      </c>
      <c r="E5" s="4">
        <v>25</v>
      </c>
      <c r="F5" s="4" t="s">
        <v>9</v>
      </c>
      <c r="G5" s="3"/>
    </row>
    <row r="6" spans="1:7" ht="15.75" customHeight="1" x14ac:dyDescent="0.25">
      <c r="A6" s="3" t="s">
        <v>21</v>
      </c>
      <c r="B6" s="3" t="s">
        <v>22</v>
      </c>
      <c r="C6" s="3" t="s">
        <v>23</v>
      </c>
      <c r="D6" s="3">
        <v>70</v>
      </c>
      <c r="E6" s="3">
        <v>20</v>
      </c>
      <c r="F6" s="3" t="s">
        <v>24</v>
      </c>
      <c r="G6" s="3"/>
    </row>
    <row r="7" spans="1:7" ht="15.75" customHeight="1" x14ac:dyDescent="0.25">
      <c r="A7" s="4" t="s">
        <v>25</v>
      </c>
      <c r="B7" s="4" t="s">
        <v>26</v>
      </c>
      <c r="C7" s="4" t="s">
        <v>27</v>
      </c>
      <c r="D7" s="4">
        <v>200</v>
      </c>
      <c r="E7" s="4">
        <v>45</v>
      </c>
      <c r="F7" s="4" t="s">
        <v>9</v>
      </c>
      <c r="G7" s="3"/>
    </row>
    <row r="8" spans="1:7" ht="15.75" customHeight="1" x14ac:dyDescent="0.25">
      <c r="A8" s="3" t="s">
        <v>28</v>
      </c>
      <c r="B8" s="3" t="s">
        <v>29</v>
      </c>
      <c r="C8" s="3" t="s">
        <v>30</v>
      </c>
      <c r="D8" s="3">
        <v>30</v>
      </c>
      <c r="E8" s="3">
        <v>5</v>
      </c>
      <c r="F8" s="3" t="s">
        <v>13</v>
      </c>
      <c r="G8" s="3"/>
    </row>
    <row r="9" spans="1:7" ht="15.75" customHeight="1" x14ac:dyDescent="0.25">
      <c r="A9" s="4" t="s">
        <v>31</v>
      </c>
      <c r="B9" s="4" t="s">
        <v>32</v>
      </c>
      <c r="C9" s="4" t="s">
        <v>33</v>
      </c>
      <c r="D9" s="4">
        <v>90</v>
      </c>
      <c r="E9" s="4">
        <v>35</v>
      </c>
      <c r="F9" s="4" t="s">
        <v>17</v>
      </c>
      <c r="G9" s="3"/>
    </row>
    <row r="10" spans="1:7" ht="15.75" customHeight="1" x14ac:dyDescent="0.25">
      <c r="A10" s="3" t="s">
        <v>34</v>
      </c>
      <c r="B10" s="3" t="s">
        <v>35</v>
      </c>
      <c r="C10" s="3" t="s">
        <v>36</v>
      </c>
      <c r="D10" s="3">
        <v>500</v>
      </c>
      <c r="E10" s="3">
        <v>50</v>
      </c>
      <c r="F10" s="3" t="s">
        <v>9</v>
      </c>
      <c r="G10" s="3"/>
    </row>
    <row r="11" spans="1:7" ht="15.75" customHeight="1" x14ac:dyDescent="0.25">
      <c r="A11" s="4" t="s">
        <v>37</v>
      </c>
      <c r="B11" s="4" t="s">
        <v>38</v>
      </c>
      <c r="C11" s="4" t="s">
        <v>39</v>
      </c>
      <c r="D11" s="4">
        <v>130</v>
      </c>
      <c r="E11" s="4">
        <v>10</v>
      </c>
      <c r="F11" s="4" t="s">
        <v>24</v>
      </c>
      <c r="G11" s="3"/>
    </row>
    <row r="12" spans="1:7" ht="15.75" customHeight="1" x14ac:dyDescent="0.25">
      <c r="A12" s="3" t="s">
        <v>40</v>
      </c>
      <c r="B12" s="3" t="s">
        <v>7</v>
      </c>
      <c r="C12" s="3" t="s">
        <v>41</v>
      </c>
      <c r="D12" s="3">
        <v>950</v>
      </c>
      <c r="E12" s="3">
        <v>25</v>
      </c>
      <c r="F12" s="3" t="s">
        <v>9</v>
      </c>
      <c r="G12" s="3"/>
    </row>
    <row r="13" spans="1:7" ht="15.75" customHeight="1" x14ac:dyDescent="0.25">
      <c r="A13" s="4" t="s">
        <v>42</v>
      </c>
      <c r="B13" s="4" t="s">
        <v>11</v>
      </c>
      <c r="C13" s="4" t="s">
        <v>30</v>
      </c>
      <c r="D13" s="4">
        <v>90</v>
      </c>
      <c r="E13" s="4">
        <v>40</v>
      </c>
      <c r="F13" s="4" t="s">
        <v>13</v>
      </c>
      <c r="G13" s="3"/>
    </row>
    <row r="14" spans="1:7" ht="15.75" customHeight="1" x14ac:dyDescent="0.25">
      <c r="A14" s="3" t="s">
        <v>43</v>
      </c>
      <c r="B14" s="3" t="s">
        <v>15</v>
      </c>
      <c r="C14" s="3" t="s">
        <v>44</v>
      </c>
      <c r="D14" s="3">
        <v>120</v>
      </c>
      <c r="E14" s="3">
        <v>35</v>
      </c>
      <c r="F14" s="3" t="s">
        <v>17</v>
      </c>
      <c r="G14" s="3"/>
    </row>
    <row r="15" spans="1:7" ht="15.75" customHeight="1" x14ac:dyDescent="0.25">
      <c r="A15" s="4" t="s">
        <v>45</v>
      </c>
      <c r="B15" s="4" t="s">
        <v>46</v>
      </c>
      <c r="C15" s="4" t="s">
        <v>47</v>
      </c>
      <c r="D15" s="4">
        <v>150</v>
      </c>
      <c r="E15" s="4">
        <v>15</v>
      </c>
      <c r="F15" s="4" t="s">
        <v>9</v>
      </c>
      <c r="G15" s="3"/>
    </row>
    <row r="16" spans="1:7" ht="15.75" customHeight="1" x14ac:dyDescent="0.25">
      <c r="A16" s="3" t="s">
        <v>48</v>
      </c>
      <c r="B16" s="3" t="s">
        <v>26</v>
      </c>
      <c r="C16" s="3" t="s">
        <v>49</v>
      </c>
      <c r="D16" s="3">
        <v>250</v>
      </c>
      <c r="E16" s="3">
        <v>20</v>
      </c>
      <c r="F16" s="3" t="s">
        <v>9</v>
      </c>
      <c r="G16" s="3"/>
    </row>
    <row r="17" spans="1:7" ht="15.75" customHeight="1" x14ac:dyDescent="0.25">
      <c r="A17" s="4" t="s">
        <v>50</v>
      </c>
      <c r="B17" s="4" t="s">
        <v>51</v>
      </c>
      <c r="C17" s="4" t="s">
        <v>52</v>
      </c>
      <c r="D17" s="4">
        <v>50</v>
      </c>
      <c r="E17" s="4">
        <v>35</v>
      </c>
      <c r="F17" s="4" t="s">
        <v>53</v>
      </c>
      <c r="G17" s="3"/>
    </row>
    <row r="18" spans="1:7" ht="15.75" customHeight="1" x14ac:dyDescent="0.25">
      <c r="A18" s="3" t="s">
        <v>54</v>
      </c>
      <c r="B18" s="3" t="s">
        <v>46</v>
      </c>
      <c r="C18" s="3" t="s">
        <v>55</v>
      </c>
      <c r="D18" s="3">
        <v>160</v>
      </c>
      <c r="E18" s="3">
        <v>15</v>
      </c>
      <c r="F18" s="3" t="s">
        <v>9</v>
      </c>
      <c r="G18" s="3"/>
    </row>
    <row r="19" spans="1:7" ht="15.75" customHeight="1" x14ac:dyDescent="0.25">
      <c r="A19" s="4" t="s">
        <v>56</v>
      </c>
      <c r="B19" s="4" t="s">
        <v>7</v>
      </c>
      <c r="C19" s="4" t="s">
        <v>57</v>
      </c>
      <c r="D19" s="4">
        <v>980</v>
      </c>
      <c r="E19" s="4">
        <v>10</v>
      </c>
      <c r="F19" s="4" t="s">
        <v>9</v>
      </c>
      <c r="G19" s="3"/>
    </row>
    <row r="20" spans="1:7" ht="15.75" customHeight="1" x14ac:dyDescent="0.25">
      <c r="A20" s="3" t="s">
        <v>58</v>
      </c>
      <c r="B20" s="3" t="s">
        <v>59</v>
      </c>
      <c r="C20" s="3" t="s">
        <v>60</v>
      </c>
      <c r="D20" s="3">
        <v>150</v>
      </c>
      <c r="E20" s="3">
        <v>15</v>
      </c>
      <c r="F20" s="3" t="s">
        <v>13</v>
      </c>
      <c r="G20" s="3"/>
    </row>
    <row r="21" spans="1:7" ht="15.75" customHeight="1" x14ac:dyDescent="0.25">
      <c r="A21" s="4" t="s">
        <v>61</v>
      </c>
      <c r="B21" s="4" t="s">
        <v>62</v>
      </c>
      <c r="C21" s="4" t="s">
        <v>63</v>
      </c>
      <c r="D21" s="4">
        <v>200</v>
      </c>
      <c r="E21" s="4">
        <v>10</v>
      </c>
      <c r="F21" s="4" t="s">
        <v>24</v>
      </c>
      <c r="G21" s="3"/>
    </row>
    <row r="22" spans="1:7" ht="15.75" customHeight="1" x14ac:dyDescent="0.25">
      <c r="A22" s="3" t="s">
        <v>64</v>
      </c>
      <c r="B22" s="3" t="s">
        <v>65</v>
      </c>
      <c r="C22" s="3" t="s">
        <v>66</v>
      </c>
      <c r="D22" s="3">
        <v>700</v>
      </c>
      <c r="E22" s="3">
        <v>50</v>
      </c>
      <c r="F22" s="3" t="s">
        <v>9</v>
      </c>
      <c r="G22" s="3"/>
    </row>
    <row r="23" spans="1:7" ht="15.75" customHeight="1" x14ac:dyDescent="0.25">
      <c r="A23" s="4" t="s">
        <v>67</v>
      </c>
      <c r="B23" s="4" t="s">
        <v>68</v>
      </c>
      <c r="C23" s="4" t="s">
        <v>69</v>
      </c>
      <c r="D23" s="4">
        <v>80</v>
      </c>
      <c r="E23" s="4">
        <v>20</v>
      </c>
      <c r="F23" s="4" t="s">
        <v>17</v>
      </c>
      <c r="G23" s="3"/>
    </row>
    <row r="24" spans="1:7" ht="15.75" customHeight="1" x14ac:dyDescent="0.25">
      <c r="A24" s="3" t="s">
        <v>70</v>
      </c>
      <c r="B24" s="3" t="s">
        <v>71</v>
      </c>
      <c r="C24" s="3" t="s">
        <v>72</v>
      </c>
      <c r="D24" s="3">
        <v>150</v>
      </c>
      <c r="E24" s="3">
        <v>30</v>
      </c>
      <c r="F24" s="3" t="s">
        <v>9</v>
      </c>
      <c r="G24" s="3"/>
    </row>
    <row r="25" spans="1:7" ht="15.75" customHeight="1" x14ac:dyDescent="0.25">
      <c r="A25" s="4" t="s">
        <v>50</v>
      </c>
      <c r="B25" s="4" t="s">
        <v>51</v>
      </c>
      <c r="C25" s="4" t="s">
        <v>52</v>
      </c>
      <c r="D25" s="4">
        <v>50</v>
      </c>
      <c r="E25" s="4">
        <v>35</v>
      </c>
      <c r="F25" s="4" t="s">
        <v>53</v>
      </c>
      <c r="G25" s="5"/>
    </row>
    <row r="26" spans="1:7" ht="15.75" customHeight="1" x14ac:dyDescent="0.25">
      <c r="A26" s="3" t="s">
        <v>73</v>
      </c>
      <c r="B26" s="3" t="s">
        <v>19</v>
      </c>
      <c r="C26" s="3" t="s">
        <v>74</v>
      </c>
      <c r="D26" s="3">
        <v>800</v>
      </c>
      <c r="E26" s="3">
        <v>45</v>
      </c>
      <c r="F26" s="3" t="s">
        <v>9</v>
      </c>
      <c r="G26" s="3"/>
    </row>
    <row r="27" spans="1:7" ht="15.75" customHeight="1" x14ac:dyDescent="0.25">
      <c r="A27" s="4" t="s">
        <v>75</v>
      </c>
      <c r="B27" s="4" t="s">
        <v>59</v>
      </c>
      <c r="C27" s="4" t="s">
        <v>76</v>
      </c>
      <c r="D27" s="4">
        <v>130</v>
      </c>
      <c r="E27" s="4">
        <v>25</v>
      </c>
      <c r="F27" s="4" t="s">
        <v>13</v>
      </c>
      <c r="G27" s="3"/>
    </row>
    <row r="28" spans="1:7" ht="15.75" customHeight="1" x14ac:dyDescent="0.25">
      <c r="A28" s="3" t="s">
        <v>77</v>
      </c>
      <c r="B28" s="3" t="s">
        <v>32</v>
      </c>
      <c r="C28" s="3" t="s">
        <v>78</v>
      </c>
      <c r="D28" s="3">
        <v>400</v>
      </c>
      <c r="E28" s="3">
        <v>40</v>
      </c>
      <c r="F28" s="3" t="s">
        <v>17</v>
      </c>
      <c r="G28" s="3"/>
    </row>
    <row r="29" spans="1:7" ht="15.75" customHeight="1" x14ac:dyDescent="0.25">
      <c r="A29" s="4" t="s">
        <v>48</v>
      </c>
      <c r="B29" s="4" t="s">
        <v>26</v>
      </c>
      <c r="C29" s="4" t="s">
        <v>49</v>
      </c>
      <c r="D29" s="4">
        <v>230</v>
      </c>
      <c r="E29" s="4">
        <v>20</v>
      </c>
      <c r="F29" s="4" t="s">
        <v>9</v>
      </c>
      <c r="G29" s="5"/>
    </row>
    <row r="30" spans="1:7" ht="15.75" customHeight="1" x14ac:dyDescent="0.25">
      <c r="A30" s="3" t="s">
        <v>79</v>
      </c>
      <c r="B30" s="3" t="s">
        <v>80</v>
      </c>
      <c r="C30" s="3" t="s">
        <v>81</v>
      </c>
      <c r="D30" s="3">
        <v>60</v>
      </c>
      <c r="E30" s="3">
        <v>30</v>
      </c>
      <c r="F30" s="3" t="s">
        <v>13</v>
      </c>
      <c r="G30" s="3"/>
    </row>
    <row r="31" spans="1:7" ht="15.75" customHeight="1" x14ac:dyDescent="0.25">
      <c r="A31" s="4" t="s">
        <v>82</v>
      </c>
      <c r="B31" s="4" t="s">
        <v>83</v>
      </c>
      <c r="C31" s="4" t="s">
        <v>84</v>
      </c>
      <c r="D31" s="4">
        <v>40</v>
      </c>
      <c r="E31" s="4">
        <v>10</v>
      </c>
      <c r="F31" s="4" t="s">
        <v>17</v>
      </c>
      <c r="G31" s="3"/>
    </row>
    <row r="32" spans="1:7" ht="15.75" customHeight="1" x14ac:dyDescent="0.25">
      <c r="A32" s="3" t="s">
        <v>85</v>
      </c>
      <c r="B32" s="3" t="s">
        <v>71</v>
      </c>
      <c r="C32" s="3" t="s">
        <v>86</v>
      </c>
      <c r="D32" s="3">
        <v>130</v>
      </c>
      <c r="E32" s="3">
        <v>5</v>
      </c>
      <c r="F32" s="3" t="s">
        <v>9</v>
      </c>
      <c r="G32" s="3"/>
    </row>
    <row r="33" spans="1:7" ht="15.75" customHeight="1" x14ac:dyDescent="0.25">
      <c r="A33" s="4" t="s">
        <v>87</v>
      </c>
      <c r="B33" s="4" t="s">
        <v>88</v>
      </c>
      <c r="C33" s="4" t="s">
        <v>89</v>
      </c>
      <c r="D33" s="4">
        <v>50</v>
      </c>
      <c r="E33" s="4">
        <v>50</v>
      </c>
      <c r="F33" s="4" t="s">
        <v>13</v>
      </c>
      <c r="G33" s="3"/>
    </row>
    <row r="34" spans="1:7" ht="15.75" customHeight="1" x14ac:dyDescent="0.25">
      <c r="A34" s="3" t="s">
        <v>40</v>
      </c>
      <c r="B34" s="3" t="s">
        <v>7</v>
      </c>
      <c r="C34" s="3" t="s">
        <v>41</v>
      </c>
      <c r="D34" s="3">
        <v>950</v>
      </c>
      <c r="E34" s="3">
        <v>25</v>
      </c>
      <c r="F34" s="3" t="s">
        <v>9</v>
      </c>
      <c r="G34" s="3"/>
    </row>
    <row r="35" spans="1:7" ht="15.75" customHeight="1" x14ac:dyDescent="0.25">
      <c r="A35" s="4" t="s">
        <v>90</v>
      </c>
      <c r="B35" s="4" t="s">
        <v>91</v>
      </c>
      <c r="C35" s="4" t="s">
        <v>92</v>
      </c>
      <c r="D35" s="4">
        <v>100</v>
      </c>
      <c r="E35" s="4">
        <v>20</v>
      </c>
      <c r="F35" s="4" t="s">
        <v>53</v>
      </c>
      <c r="G35" s="3"/>
    </row>
    <row r="36" spans="1:7" ht="15.75" customHeight="1" x14ac:dyDescent="0.25"/>
    <row r="37" spans="1:7" ht="15.75" customHeight="1" x14ac:dyDescent="0.25"/>
    <row r="38" spans="1:7" ht="15.75" customHeight="1" x14ac:dyDescent="0.25"/>
    <row r="39" spans="1:7" ht="15.75" customHeight="1" x14ac:dyDescent="0.25"/>
    <row r="40" spans="1:7" ht="15.75" customHeight="1" x14ac:dyDescent="0.25"/>
    <row r="41" spans="1:7" ht="15.75" customHeight="1" x14ac:dyDescent="0.25"/>
    <row r="42" spans="1:7" ht="15.75" customHeight="1" x14ac:dyDescent="0.25"/>
    <row r="43" spans="1:7" ht="15.75" customHeight="1" x14ac:dyDescent="0.25"/>
    <row r="44" spans="1:7" ht="15.75" customHeight="1" x14ac:dyDescent="0.25"/>
    <row r="45" spans="1:7" ht="15.75" customHeight="1" x14ac:dyDescent="0.25"/>
    <row r="46" spans="1:7" ht="15.75" customHeight="1" x14ac:dyDescent="0.25"/>
    <row r="47" spans="1:7" ht="15.75" customHeight="1" x14ac:dyDescent="0.25"/>
    <row r="48" spans="1:7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5D92D6-FFE0-452B-9F2A-B21D67CDAE55}">
  <dimension ref="A1:P58"/>
  <sheetViews>
    <sheetView tabSelected="1" zoomScale="89" zoomScaleNormal="89" workbookViewId="0">
      <selection activeCell="G7" sqref="G7"/>
    </sheetView>
  </sheetViews>
  <sheetFormatPr defaultColWidth="17.21875" defaultRowHeight="13.2" x14ac:dyDescent="0.25"/>
  <cols>
    <col min="1" max="3" width="17.21875" style="6"/>
    <col min="4" max="4" width="19.77734375" style="6" customWidth="1"/>
    <col min="5" max="10" width="17.21875" style="6"/>
    <col min="11" max="11" width="14" style="6" customWidth="1"/>
    <col min="12" max="12" width="38.88671875" style="6" customWidth="1"/>
    <col min="13" max="13" width="27.5546875" style="6" customWidth="1"/>
    <col min="14" max="16384" width="17.21875" style="6"/>
  </cols>
  <sheetData>
    <row r="1" spans="1:16" x14ac:dyDescent="0.25">
      <c r="A1" s="21" t="s">
        <v>0</v>
      </c>
      <c r="B1" s="30" t="s">
        <v>107</v>
      </c>
      <c r="C1" s="30" t="s">
        <v>108</v>
      </c>
      <c r="D1" s="30" t="s">
        <v>109</v>
      </c>
      <c r="E1" s="22" t="s">
        <v>1</v>
      </c>
      <c r="F1" s="22" t="s">
        <v>2</v>
      </c>
      <c r="G1" s="22" t="s">
        <v>3</v>
      </c>
      <c r="H1" s="30" t="s">
        <v>104</v>
      </c>
      <c r="I1" s="22" t="s">
        <v>4</v>
      </c>
      <c r="J1" s="23" t="s">
        <v>5</v>
      </c>
    </row>
    <row r="2" spans="1:16" x14ac:dyDescent="0.25">
      <c r="A2" s="10" t="s">
        <v>6</v>
      </c>
      <c r="B2" s="33">
        <v>28</v>
      </c>
      <c r="C2" s="33" t="s">
        <v>113</v>
      </c>
      <c r="D2" s="33" t="s">
        <v>114</v>
      </c>
      <c r="E2" s="7" t="s">
        <v>7</v>
      </c>
      <c r="F2" s="7" t="s">
        <v>8</v>
      </c>
      <c r="G2" s="7">
        <v>1000</v>
      </c>
      <c r="H2" s="33" t="s">
        <v>111</v>
      </c>
      <c r="I2" s="7">
        <v>30</v>
      </c>
      <c r="J2" s="11" t="s">
        <v>9</v>
      </c>
    </row>
    <row r="3" spans="1:16" x14ac:dyDescent="0.25">
      <c r="A3" s="10" t="s">
        <v>10</v>
      </c>
      <c r="B3" s="33">
        <v>15</v>
      </c>
      <c r="C3" s="33" t="s">
        <v>115</v>
      </c>
      <c r="D3" s="33" t="s">
        <v>114</v>
      </c>
      <c r="E3" s="7" t="s">
        <v>11</v>
      </c>
      <c r="F3" s="7" t="s">
        <v>12</v>
      </c>
      <c r="G3" s="7">
        <v>80</v>
      </c>
      <c r="H3" s="33" t="s">
        <v>112</v>
      </c>
      <c r="I3" s="7">
        <v>15</v>
      </c>
      <c r="J3" s="11" t="s">
        <v>13</v>
      </c>
      <c r="L3" s="25"/>
      <c r="M3" s="25"/>
      <c r="N3" s="25"/>
      <c r="P3" s="9"/>
    </row>
    <row r="4" spans="1:16" x14ac:dyDescent="0.25">
      <c r="A4" s="10" t="s">
        <v>14</v>
      </c>
      <c r="B4" s="33">
        <v>3</v>
      </c>
      <c r="C4" s="33" t="s">
        <v>116</v>
      </c>
      <c r="D4" s="33" t="s">
        <v>114</v>
      </c>
      <c r="E4" s="7" t="s">
        <v>15</v>
      </c>
      <c r="F4" s="7" t="s">
        <v>16</v>
      </c>
      <c r="G4" s="7">
        <v>130</v>
      </c>
      <c r="H4" s="33" t="s">
        <v>112</v>
      </c>
      <c r="I4" s="7">
        <v>40</v>
      </c>
      <c r="J4" s="11" t="s">
        <v>17</v>
      </c>
      <c r="L4" s="24" t="s">
        <v>93</v>
      </c>
      <c r="M4" s="24" t="s">
        <v>98</v>
      </c>
      <c r="N4" s="24" t="s">
        <v>99</v>
      </c>
    </row>
    <row r="5" spans="1:16" x14ac:dyDescent="0.25">
      <c r="A5" s="10" t="s">
        <v>18</v>
      </c>
      <c r="B5" s="33">
        <v>11</v>
      </c>
      <c r="C5" s="33" t="s">
        <v>117</v>
      </c>
      <c r="D5" s="33" t="s">
        <v>114</v>
      </c>
      <c r="E5" s="7" t="s">
        <v>19</v>
      </c>
      <c r="F5" s="7" t="s">
        <v>20</v>
      </c>
      <c r="G5" s="7">
        <v>900</v>
      </c>
      <c r="H5" s="33" t="s">
        <v>111</v>
      </c>
      <c r="I5" s="7">
        <v>25</v>
      </c>
      <c r="J5" s="11" t="s">
        <v>9</v>
      </c>
      <c r="L5" s="18" t="s">
        <v>97</v>
      </c>
      <c r="M5" s="19">
        <v>10100</v>
      </c>
      <c r="N5" s="19">
        <f>SUM(Sales_Data[Price ($)])</f>
        <v>10100</v>
      </c>
    </row>
    <row r="6" spans="1:16" x14ac:dyDescent="0.25">
      <c r="A6" s="10" t="s">
        <v>21</v>
      </c>
      <c r="B6" s="33">
        <v>22</v>
      </c>
      <c r="C6" s="33" t="s">
        <v>118</v>
      </c>
      <c r="D6" s="33" t="s">
        <v>114</v>
      </c>
      <c r="E6" s="7" t="s">
        <v>22</v>
      </c>
      <c r="F6" s="7" t="s">
        <v>23</v>
      </c>
      <c r="G6" s="7">
        <v>70</v>
      </c>
      <c r="H6" s="33" t="s">
        <v>112</v>
      </c>
      <c r="I6" s="7">
        <v>20</v>
      </c>
      <c r="J6" s="11" t="s">
        <v>24</v>
      </c>
      <c r="L6" s="18" t="s">
        <v>96</v>
      </c>
      <c r="M6" s="20">
        <v>34</v>
      </c>
      <c r="N6" s="20">
        <f>COUNTA(Sales_Data[Product Name])</f>
        <v>34</v>
      </c>
    </row>
    <row r="7" spans="1:16" x14ac:dyDescent="0.25">
      <c r="A7" s="10" t="s">
        <v>25</v>
      </c>
      <c r="B7" s="33">
        <v>7</v>
      </c>
      <c r="C7" s="33" t="s">
        <v>119</v>
      </c>
      <c r="D7" s="33" t="s">
        <v>120</v>
      </c>
      <c r="E7" s="7" t="s">
        <v>26</v>
      </c>
      <c r="F7" s="7" t="s">
        <v>27</v>
      </c>
      <c r="G7" s="7">
        <v>200</v>
      </c>
      <c r="H7" s="33" t="s">
        <v>112</v>
      </c>
      <c r="I7" s="7">
        <v>45</v>
      </c>
      <c r="J7" s="11" t="s">
        <v>9</v>
      </c>
      <c r="L7" s="18" t="s">
        <v>94</v>
      </c>
      <c r="M7" s="38">
        <v>297.058823529412</v>
      </c>
      <c r="N7" s="38">
        <f>AVERAGE(Sales_Data[Price ($)])</f>
        <v>297.05882352941177</v>
      </c>
    </row>
    <row r="8" spans="1:16" x14ac:dyDescent="0.25">
      <c r="A8" s="10" t="s">
        <v>28</v>
      </c>
      <c r="B8" s="33">
        <v>19</v>
      </c>
      <c r="C8" s="33" t="s">
        <v>121</v>
      </c>
      <c r="D8" s="33" t="s">
        <v>120</v>
      </c>
      <c r="E8" s="7" t="s">
        <v>29</v>
      </c>
      <c r="F8" s="7" t="s">
        <v>30</v>
      </c>
      <c r="G8" s="7">
        <v>30</v>
      </c>
      <c r="H8" s="33" t="s">
        <v>112</v>
      </c>
      <c r="I8" s="7">
        <v>5</v>
      </c>
      <c r="J8" s="11" t="s">
        <v>13</v>
      </c>
    </row>
    <row r="9" spans="1:16" x14ac:dyDescent="0.25">
      <c r="A9" s="10" t="s">
        <v>31</v>
      </c>
      <c r="B9" s="33">
        <v>23</v>
      </c>
      <c r="C9" s="33" t="s">
        <v>122</v>
      </c>
      <c r="D9" s="33" t="s">
        <v>120</v>
      </c>
      <c r="E9" s="7" t="s">
        <v>32</v>
      </c>
      <c r="F9" s="7" t="s">
        <v>33</v>
      </c>
      <c r="G9" s="7">
        <v>90</v>
      </c>
      <c r="H9" s="33" t="s">
        <v>112</v>
      </c>
      <c r="I9" s="7">
        <v>35</v>
      </c>
      <c r="J9" s="11" t="s">
        <v>17</v>
      </c>
      <c r="L9" s="35" t="s">
        <v>100</v>
      </c>
      <c r="M9" s="36"/>
    </row>
    <row r="10" spans="1:16" x14ac:dyDescent="0.25">
      <c r="A10" s="10" t="s">
        <v>34</v>
      </c>
      <c r="B10" s="33">
        <v>5</v>
      </c>
      <c r="C10" s="33" t="s">
        <v>123</v>
      </c>
      <c r="D10" s="33" t="s">
        <v>120</v>
      </c>
      <c r="E10" s="7" t="s">
        <v>35</v>
      </c>
      <c r="F10" s="7" t="s">
        <v>36</v>
      </c>
      <c r="G10" s="7">
        <v>500</v>
      </c>
      <c r="H10" s="33" t="s">
        <v>111</v>
      </c>
      <c r="I10" s="7">
        <v>50</v>
      </c>
      <c r="J10" s="11" t="s">
        <v>9</v>
      </c>
      <c r="L10" s="15" t="s">
        <v>9</v>
      </c>
      <c r="M10" s="27">
        <f>COUNTIF(Sales_Data[Category],"Electronics")</f>
        <v>15</v>
      </c>
      <c r="N10" s="25"/>
    </row>
    <row r="11" spans="1:16" x14ac:dyDescent="0.25">
      <c r="A11" s="10" t="s">
        <v>37</v>
      </c>
      <c r="B11" s="33">
        <v>14</v>
      </c>
      <c r="C11" s="33" t="s">
        <v>124</v>
      </c>
      <c r="D11" s="33" t="s">
        <v>120</v>
      </c>
      <c r="E11" s="7" t="s">
        <v>38</v>
      </c>
      <c r="F11" s="7" t="s">
        <v>39</v>
      </c>
      <c r="G11" s="7">
        <v>130</v>
      </c>
      <c r="H11" s="33" t="s">
        <v>112</v>
      </c>
      <c r="I11" s="7">
        <v>10</v>
      </c>
      <c r="J11" s="11" t="s">
        <v>24</v>
      </c>
      <c r="L11" s="15" t="s">
        <v>17</v>
      </c>
      <c r="M11" s="27">
        <f>COUNTIF(Sales_Data[Category],"Kitchen")</f>
        <v>6</v>
      </c>
    </row>
    <row r="12" spans="1:16" x14ac:dyDescent="0.25">
      <c r="A12" s="10" t="s">
        <v>40</v>
      </c>
      <c r="B12" s="33">
        <v>17</v>
      </c>
      <c r="C12" s="33" t="s">
        <v>119</v>
      </c>
      <c r="D12" s="33" t="s">
        <v>125</v>
      </c>
      <c r="E12" s="7" t="s">
        <v>7</v>
      </c>
      <c r="F12" s="7" t="s">
        <v>41</v>
      </c>
      <c r="G12" s="7">
        <v>950</v>
      </c>
      <c r="H12" s="33" t="s">
        <v>111</v>
      </c>
      <c r="I12" s="7">
        <v>25</v>
      </c>
      <c r="J12" s="11" t="s">
        <v>9</v>
      </c>
      <c r="L12" s="15" t="s">
        <v>13</v>
      </c>
      <c r="M12" s="27">
        <f>COUNTIF(Sales_Data[Category],"Fashion")</f>
        <v>7</v>
      </c>
    </row>
    <row r="13" spans="1:16" x14ac:dyDescent="0.25">
      <c r="A13" s="10" t="s">
        <v>42</v>
      </c>
      <c r="B13" s="33">
        <v>25</v>
      </c>
      <c r="C13" s="33" t="s">
        <v>126</v>
      </c>
      <c r="D13" s="33" t="s">
        <v>127</v>
      </c>
      <c r="E13" s="7" t="s">
        <v>11</v>
      </c>
      <c r="F13" s="7" t="s">
        <v>30</v>
      </c>
      <c r="G13" s="7">
        <v>90</v>
      </c>
      <c r="H13" s="33" t="s">
        <v>112</v>
      </c>
      <c r="I13" s="7">
        <v>40</v>
      </c>
      <c r="J13" s="11" t="s">
        <v>13</v>
      </c>
      <c r="L13" s="15" t="s">
        <v>53</v>
      </c>
      <c r="M13" s="27">
        <f>COUNTIF(Sales_Data[Category],"Accessories")</f>
        <v>3</v>
      </c>
    </row>
    <row r="14" spans="1:16" x14ac:dyDescent="0.25">
      <c r="A14" s="10" t="s">
        <v>43</v>
      </c>
      <c r="B14" s="33">
        <v>8</v>
      </c>
      <c r="C14" s="33" t="s">
        <v>128</v>
      </c>
      <c r="D14" s="33" t="s">
        <v>129</v>
      </c>
      <c r="E14" s="7" t="s">
        <v>15</v>
      </c>
      <c r="F14" s="7" t="s">
        <v>44</v>
      </c>
      <c r="G14" s="7">
        <v>120</v>
      </c>
      <c r="H14" s="33" t="s">
        <v>112</v>
      </c>
      <c r="I14" s="7">
        <v>35</v>
      </c>
      <c r="J14" s="11" t="s">
        <v>17</v>
      </c>
      <c r="L14" s="15" t="s">
        <v>24</v>
      </c>
      <c r="M14" s="27">
        <f>COUNTIF(Sales_Data[Category],"Outdoor")</f>
        <v>3</v>
      </c>
    </row>
    <row r="15" spans="1:16" x14ac:dyDescent="0.25">
      <c r="A15" s="10" t="s">
        <v>45</v>
      </c>
      <c r="B15" s="33">
        <v>18</v>
      </c>
      <c r="C15" s="33" t="s">
        <v>115</v>
      </c>
      <c r="D15" s="33" t="s">
        <v>130</v>
      </c>
      <c r="E15" s="7" t="s">
        <v>46</v>
      </c>
      <c r="F15" s="7" t="s">
        <v>47</v>
      </c>
      <c r="G15" s="7">
        <v>150</v>
      </c>
      <c r="H15" s="33" t="s">
        <v>112</v>
      </c>
      <c r="I15" s="7">
        <v>15</v>
      </c>
      <c r="J15" s="11" t="s">
        <v>9</v>
      </c>
      <c r="L15" s="24" t="s">
        <v>106</v>
      </c>
      <c r="M15" s="24">
        <f>SUM(M10:M14)</f>
        <v>34</v>
      </c>
    </row>
    <row r="16" spans="1:16" x14ac:dyDescent="0.25">
      <c r="A16" s="10" t="s">
        <v>48</v>
      </c>
      <c r="B16" s="33">
        <v>16</v>
      </c>
      <c r="C16" s="33" t="s">
        <v>117</v>
      </c>
      <c r="D16" s="33" t="s">
        <v>131</v>
      </c>
      <c r="E16" s="7" t="s">
        <v>26</v>
      </c>
      <c r="F16" s="7" t="s">
        <v>49</v>
      </c>
      <c r="G16" s="7">
        <v>250</v>
      </c>
      <c r="H16" s="33" t="s">
        <v>112</v>
      </c>
      <c r="I16" s="7">
        <v>20</v>
      </c>
      <c r="J16" s="11" t="s">
        <v>9</v>
      </c>
    </row>
    <row r="17" spans="1:14" x14ac:dyDescent="0.25">
      <c r="A17" s="10" t="s">
        <v>50</v>
      </c>
      <c r="B17" s="33">
        <v>21</v>
      </c>
      <c r="C17" s="33" t="s">
        <v>122</v>
      </c>
      <c r="D17" s="33" t="s">
        <v>130</v>
      </c>
      <c r="E17" s="7" t="s">
        <v>51</v>
      </c>
      <c r="F17" s="7" t="s">
        <v>52</v>
      </c>
      <c r="G17" s="7">
        <v>50</v>
      </c>
      <c r="H17" s="33" t="s">
        <v>112</v>
      </c>
      <c r="I17" s="7">
        <v>35</v>
      </c>
      <c r="J17" s="11" t="s">
        <v>53</v>
      </c>
      <c r="L17" s="24" t="s">
        <v>101</v>
      </c>
      <c r="M17" s="24" t="s">
        <v>98</v>
      </c>
      <c r="N17" s="24" t="s">
        <v>99</v>
      </c>
    </row>
    <row r="18" spans="1:14" x14ac:dyDescent="0.25">
      <c r="A18" s="10" t="s">
        <v>54</v>
      </c>
      <c r="B18" s="33">
        <v>20</v>
      </c>
      <c r="C18" s="33" t="s">
        <v>122</v>
      </c>
      <c r="D18" s="33" t="s">
        <v>132</v>
      </c>
      <c r="E18" s="7" t="s">
        <v>46</v>
      </c>
      <c r="F18" s="7" t="s">
        <v>55</v>
      </c>
      <c r="G18" s="7">
        <v>160</v>
      </c>
      <c r="H18" s="33" t="s">
        <v>112</v>
      </c>
      <c r="I18" s="7">
        <v>15</v>
      </c>
      <c r="J18" s="11" t="s">
        <v>9</v>
      </c>
      <c r="L18" s="18" t="s">
        <v>102</v>
      </c>
      <c r="M18" s="8">
        <v>30</v>
      </c>
      <c r="N18" s="20">
        <f>MIN(Sales_Data[Price ($)])</f>
        <v>30</v>
      </c>
    </row>
    <row r="19" spans="1:14" x14ac:dyDescent="0.25">
      <c r="A19" s="10" t="s">
        <v>56</v>
      </c>
      <c r="B19" s="33">
        <v>27</v>
      </c>
      <c r="C19" s="33" t="s">
        <v>113</v>
      </c>
      <c r="D19" s="33" t="s">
        <v>133</v>
      </c>
      <c r="E19" s="7" t="s">
        <v>7</v>
      </c>
      <c r="F19" s="7" t="s">
        <v>57</v>
      </c>
      <c r="G19" s="7">
        <v>980</v>
      </c>
      <c r="H19" s="33" t="s">
        <v>111</v>
      </c>
      <c r="I19" s="7">
        <v>10</v>
      </c>
      <c r="J19" s="11" t="s">
        <v>9</v>
      </c>
      <c r="L19" s="18" t="s">
        <v>103</v>
      </c>
      <c r="M19" s="32">
        <v>1000</v>
      </c>
      <c r="N19" s="20">
        <f>MAX(Sales_Data[Price ($)])</f>
        <v>1000</v>
      </c>
    </row>
    <row r="20" spans="1:14" x14ac:dyDescent="0.25">
      <c r="A20" s="10" t="s">
        <v>58</v>
      </c>
      <c r="B20" s="33">
        <v>1</v>
      </c>
      <c r="C20" s="33" t="s">
        <v>116</v>
      </c>
      <c r="D20" s="33" t="s">
        <v>120</v>
      </c>
      <c r="E20" s="7" t="s">
        <v>59</v>
      </c>
      <c r="F20" s="7" t="s">
        <v>60</v>
      </c>
      <c r="G20" s="7">
        <v>150</v>
      </c>
      <c r="H20" s="33" t="s">
        <v>112</v>
      </c>
      <c r="I20" s="7">
        <v>15</v>
      </c>
      <c r="J20" s="11" t="s">
        <v>13</v>
      </c>
    </row>
    <row r="21" spans="1:14" x14ac:dyDescent="0.25">
      <c r="A21" s="10" t="s">
        <v>61</v>
      </c>
      <c r="B21" s="33">
        <v>14</v>
      </c>
      <c r="C21" s="33" t="s">
        <v>122</v>
      </c>
      <c r="D21" s="33" t="s">
        <v>114</v>
      </c>
      <c r="E21" s="7" t="s">
        <v>62</v>
      </c>
      <c r="F21" s="7" t="s">
        <v>63</v>
      </c>
      <c r="G21" s="7">
        <v>200</v>
      </c>
      <c r="H21" s="33" t="s">
        <v>112</v>
      </c>
      <c r="I21" s="7">
        <v>10</v>
      </c>
      <c r="J21" s="11" t="s">
        <v>24</v>
      </c>
      <c r="L21" s="35" t="s">
        <v>105</v>
      </c>
      <c r="M21" s="37"/>
      <c r="N21" s="36"/>
    </row>
    <row r="22" spans="1:14" x14ac:dyDescent="0.25">
      <c r="A22" s="10" t="s">
        <v>64</v>
      </c>
      <c r="B22" s="33">
        <v>14</v>
      </c>
      <c r="C22" s="33" t="s">
        <v>118</v>
      </c>
      <c r="D22" s="33" t="s">
        <v>134</v>
      </c>
      <c r="E22" s="7" t="s">
        <v>65</v>
      </c>
      <c r="F22" s="7" t="s">
        <v>66</v>
      </c>
      <c r="G22" s="7">
        <v>700</v>
      </c>
      <c r="H22" s="33" t="s">
        <v>111</v>
      </c>
      <c r="I22" s="7">
        <v>50</v>
      </c>
      <c r="J22" s="16" t="s">
        <v>9</v>
      </c>
      <c r="L22" s="28" t="s">
        <v>5</v>
      </c>
      <c r="M22" s="24" t="s">
        <v>98</v>
      </c>
      <c r="N22" s="24" t="s">
        <v>99</v>
      </c>
    </row>
    <row r="23" spans="1:14" x14ac:dyDescent="0.25">
      <c r="A23" s="10" t="s">
        <v>67</v>
      </c>
      <c r="B23" s="33">
        <v>9</v>
      </c>
      <c r="C23" s="33" t="s">
        <v>113</v>
      </c>
      <c r="D23" s="33" t="s">
        <v>130</v>
      </c>
      <c r="E23" s="7" t="s">
        <v>68</v>
      </c>
      <c r="F23" s="7" t="s">
        <v>69</v>
      </c>
      <c r="G23" s="7">
        <v>80</v>
      </c>
      <c r="H23" s="33" t="s">
        <v>112</v>
      </c>
      <c r="I23" s="7">
        <v>20</v>
      </c>
      <c r="J23" s="11" t="s">
        <v>17</v>
      </c>
      <c r="L23" s="26" t="s">
        <v>9</v>
      </c>
      <c r="M23" s="39">
        <v>8050</v>
      </c>
      <c r="N23" s="39">
        <f>SUMIF(Sales_Data[Category],"Electronics",Sales_Data[Price ($)])</f>
        <v>8050</v>
      </c>
    </row>
    <row r="24" spans="1:14" x14ac:dyDescent="0.25">
      <c r="A24" s="10" t="s">
        <v>70</v>
      </c>
      <c r="B24" s="33">
        <v>19</v>
      </c>
      <c r="C24" s="33" t="s">
        <v>121</v>
      </c>
      <c r="D24" s="33" t="s">
        <v>135</v>
      </c>
      <c r="E24" s="7" t="s">
        <v>71</v>
      </c>
      <c r="F24" s="7" t="s">
        <v>72</v>
      </c>
      <c r="G24" s="7">
        <v>150</v>
      </c>
      <c r="H24" s="33" t="s">
        <v>112</v>
      </c>
      <c r="I24" s="7">
        <v>30</v>
      </c>
      <c r="J24" s="11" t="s">
        <v>9</v>
      </c>
      <c r="L24" s="26" t="s">
        <v>17</v>
      </c>
      <c r="M24" s="39">
        <v>860</v>
      </c>
      <c r="N24" s="39">
        <f>SUMIF(Sales_Data[Category],"Kitchen",Sales_Data[Price ($)])</f>
        <v>860</v>
      </c>
    </row>
    <row r="25" spans="1:14" x14ac:dyDescent="0.25">
      <c r="A25" s="10" t="s">
        <v>50</v>
      </c>
      <c r="B25" s="33">
        <v>21</v>
      </c>
      <c r="C25" s="33" t="s">
        <v>122</v>
      </c>
      <c r="D25" s="33" t="s">
        <v>130</v>
      </c>
      <c r="E25" s="7" t="s">
        <v>51</v>
      </c>
      <c r="F25" s="7" t="s">
        <v>52</v>
      </c>
      <c r="G25" s="7">
        <v>50</v>
      </c>
      <c r="H25" s="33" t="s">
        <v>112</v>
      </c>
      <c r="I25" s="7">
        <v>35</v>
      </c>
      <c r="J25" s="11" t="s">
        <v>53</v>
      </c>
      <c r="L25" s="26" t="s">
        <v>13</v>
      </c>
      <c r="M25" s="39">
        <v>590</v>
      </c>
      <c r="N25" s="39">
        <f>SUMIF(Sales_Data[Category],"Fashion",Sales_Data[Price ($)])</f>
        <v>590</v>
      </c>
    </row>
    <row r="26" spans="1:14" x14ac:dyDescent="0.25">
      <c r="A26" s="10" t="s">
        <v>73</v>
      </c>
      <c r="B26" s="33">
        <v>29</v>
      </c>
      <c r="C26" s="33" t="s">
        <v>123</v>
      </c>
      <c r="D26" s="33" t="s">
        <v>130</v>
      </c>
      <c r="E26" s="7" t="s">
        <v>19</v>
      </c>
      <c r="F26" s="7" t="s">
        <v>74</v>
      </c>
      <c r="G26" s="7">
        <v>800</v>
      </c>
      <c r="H26" s="33" t="s">
        <v>111</v>
      </c>
      <c r="I26" s="7">
        <v>45</v>
      </c>
      <c r="J26" s="11" t="s">
        <v>9</v>
      </c>
      <c r="L26" s="26" t="s">
        <v>53</v>
      </c>
      <c r="M26" s="39">
        <v>200</v>
      </c>
      <c r="N26" s="39">
        <f>SUMIF(Sales_Data[Category],"Accessories",Sales_Data[Price ($)])</f>
        <v>200</v>
      </c>
    </row>
    <row r="27" spans="1:14" x14ac:dyDescent="0.25">
      <c r="A27" s="10" t="s">
        <v>75</v>
      </c>
      <c r="B27" s="33">
        <v>3</v>
      </c>
      <c r="C27" s="33" t="s">
        <v>119</v>
      </c>
      <c r="D27" s="33" t="s">
        <v>130</v>
      </c>
      <c r="E27" s="7" t="s">
        <v>59</v>
      </c>
      <c r="F27" s="7" t="s">
        <v>76</v>
      </c>
      <c r="G27" s="7">
        <v>130</v>
      </c>
      <c r="H27" s="33" t="s">
        <v>112</v>
      </c>
      <c r="I27" s="7">
        <v>25</v>
      </c>
      <c r="J27" s="11" t="s">
        <v>13</v>
      </c>
      <c r="L27" s="26" t="s">
        <v>24</v>
      </c>
      <c r="M27" s="39">
        <v>400</v>
      </c>
      <c r="N27" s="39">
        <f>SUMIF(Sales_Data[Category],"Outdoor",Sales_Data[Price ($)])</f>
        <v>400</v>
      </c>
    </row>
    <row r="28" spans="1:14" x14ac:dyDescent="0.25">
      <c r="A28" s="10" t="s">
        <v>77</v>
      </c>
      <c r="B28" s="33">
        <v>11</v>
      </c>
      <c r="C28" s="33" t="s">
        <v>121</v>
      </c>
      <c r="D28" s="33" t="s">
        <v>130</v>
      </c>
      <c r="E28" s="7" t="s">
        <v>32</v>
      </c>
      <c r="F28" s="7" t="s">
        <v>78</v>
      </c>
      <c r="G28" s="7">
        <v>400</v>
      </c>
      <c r="H28" s="33" t="s">
        <v>112</v>
      </c>
      <c r="I28" s="7">
        <v>40</v>
      </c>
      <c r="J28" s="11" t="s">
        <v>17</v>
      </c>
      <c r="L28" s="24" t="s">
        <v>95</v>
      </c>
      <c r="M28" s="40">
        <v>10100</v>
      </c>
      <c r="N28" s="40">
        <f>SUM(N23:N27)</f>
        <v>10100</v>
      </c>
    </row>
    <row r="29" spans="1:14" x14ac:dyDescent="0.25">
      <c r="A29" s="10" t="s">
        <v>48</v>
      </c>
      <c r="B29" s="33">
        <v>16</v>
      </c>
      <c r="C29" s="33" t="s">
        <v>117</v>
      </c>
      <c r="D29" s="33" t="s">
        <v>131</v>
      </c>
      <c r="E29" s="7" t="s">
        <v>26</v>
      </c>
      <c r="F29" s="7" t="s">
        <v>49</v>
      </c>
      <c r="G29" s="7">
        <v>230</v>
      </c>
      <c r="H29" s="33" t="s">
        <v>112</v>
      </c>
      <c r="I29" s="7">
        <v>20</v>
      </c>
      <c r="J29" s="11" t="s">
        <v>9</v>
      </c>
      <c r="L29" s="17"/>
      <c r="M29" s="17"/>
    </row>
    <row r="30" spans="1:14" ht="26.4" x14ac:dyDescent="0.25">
      <c r="A30" s="10" t="s">
        <v>79</v>
      </c>
      <c r="B30" s="33">
        <v>7</v>
      </c>
      <c r="C30" s="33" t="s">
        <v>116</v>
      </c>
      <c r="D30" s="33" t="s">
        <v>130</v>
      </c>
      <c r="E30" s="7" t="s">
        <v>80</v>
      </c>
      <c r="F30" s="7" t="s">
        <v>81</v>
      </c>
      <c r="G30" s="7">
        <v>60</v>
      </c>
      <c r="H30" s="33" t="s">
        <v>112</v>
      </c>
      <c r="I30" s="7">
        <v>30</v>
      </c>
      <c r="J30" s="11" t="s">
        <v>13</v>
      </c>
      <c r="L30" s="31" t="s">
        <v>110</v>
      </c>
      <c r="M30" s="15">
        <f>COUNTIF(Sales_Data[Price ($)],"&lt;100")</f>
        <v>11</v>
      </c>
    </row>
    <row r="31" spans="1:14" x14ac:dyDescent="0.25">
      <c r="A31" s="10" t="s">
        <v>82</v>
      </c>
      <c r="B31" s="33">
        <v>13</v>
      </c>
      <c r="C31" s="33" t="s">
        <v>117</v>
      </c>
      <c r="D31" s="33" t="s">
        <v>130</v>
      </c>
      <c r="E31" s="7" t="s">
        <v>83</v>
      </c>
      <c r="F31" s="7" t="s">
        <v>84</v>
      </c>
      <c r="G31" s="7">
        <v>40</v>
      </c>
      <c r="H31" s="33" t="s">
        <v>112</v>
      </c>
      <c r="I31" s="7">
        <v>10</v>
      </c>
      <c r="J31" s="11" t="s">
        <v>17</v>
      </c>
    </row>
    <row r="32" spans="1:14" x14ac:dyDescent="0.25">
      <c r="A32" s="10" t="s">
        <v>85</v>
      </c>
      <c r="B32" s="33">
        <v>24</v>
      </c>
      <c r="C32" s="33" t="s">
        <v>118</v>
      </c>
      <c r="D32" s="33" t="s">
        <v>130</v>
      </c>
      <c r="E32" s="7" t="s">
        <v>71</v>
      </c>
      <c r="F32" s="7" t="s">
        <v>86</v>
      </c>
      <c r="G32" s="7">
        <v>130</v>
      </c>
      <c r="H32" s="33" t="s">
        <v>112</v>
      </c>
      <c r="I32" s="7">
        <v>5</v>
      </c>
      <c r="J32" s="11" t="s">
        <v>9</v>
      </c>
    </row>
    <row r="33" spans="1:13" x14ac:dyDescent="0.25">
      <c r="A33" s="10" t="s">
        <v>87</v>
      </c>
      <c r="B33" s="33">
        <v>2</v>
      </c>
      <c r="C33" s="33" t="s">
        <v>128</v>
      </c>
      <c r="D33" s="33" t="s">
        <v>130</v>
      </c>
      <c r="E33" s="7" t="s">
        <v>88</v>
      </c>
      <c r="F33" s="7" t="s">
        <v>89</v>
      </c>
      <c r="G33" s="7">
        <v>50</v>
      </c>
      <c r="H33" s="33" t="s">
        <v>112</v>
      </c>
      <c r="I33" s="7">
        <v>50</v>
      </c>
      <c r="J33" s="11" t="s">
        <v>13</v>
      </c>
      <c r="L33" s="17"/>
      <c r="M33" s="17"/>
    </row>
    <row r="34" spans="1:13" x14ac:dyDescent="0.25">
      <c r="A34" s="10" t="s">
        <v>40</v>
      </c>
      <c r="B34" s="33">
        <v>17</v>
      </c>
      <c r="C34" s="33" t="s">
        <v>119</v>
      </c>
      <c r="D34" s="33" t="s">
        <v>125</v>
      </c>
      <c r="E34" s="7" t="s">
        <v>7</v>
      </c>
      <c r="F34" s="7" t="s">
        <v>41</v>
      </c>
      <c r="G34" s="7">
        <v>950</v>
      </c>
      <c r="H34" s="33" t="s">
        <v>111</v>
      </c>
      <c r="I34" s="7">
        <v>25</v>
      </c>
      <c r="J34" s="11" t="s">
        <v>9</v>
      </c>
      <c r="L34" s="17"/>
      <c r="M34" s="17"/>
    </row>
    <row r="35" spans="1:13" x14ac:dyDescent="0.25">
      <c r="A35" s="12" t="s">
        <v>90</v>
      </c>
      <c r="B35" s="34">
        <v>9</v>
      </c>
      <c r="C35" s="34" t="s">
        <v>121</v>
      </c>
      <c r="D35" s="34" t="s">
        <v>136</v>
      </c>
      <c r="E35" s="13" t="s">
        <v>91</v>
      </c>
      <c r="F35" s="13" t="s">
        <v>92</v>
      </c>
      <c r="G35" s="13">
        <v>100</v>
      </c>
      <c r="H35" s="34" t="s">
        <v>112</v>
      </c>
      <c r="I35" s="13">
        <v>20</v>
      </c>
      <c r="J35" s="14" t="s">
        <v>53</v>
      </c>
      <c r="L35" s="17"/>
      <c r="M35" s="17"/>
    </row>
    <row r="36" spans="1:13" x14ac:dyDescent="0.25">
      <c r="L36" s="17"/>
      <c r="M36" s="17"/>
    </row>
    <row r="37" spans="1:13" x14ac:dyDescent="0.25">
      <c r="L37" s="17"/>
      <c r="M37" s="17"/>
    </row>
    <row r="38" spans="1:13" x14ac:dyDescent="0.25">
      <c r="L38" s="17"/>
      <c r="M38" s="17"/>
    </row>
    <row r="39" spans="1:13" x14ac:dyDescent="0.25">
      <c r="L39" s="17"/>
      <c r="M39" s="17"/>
    </row>
    <row r="40" spans="1:13" x14ac:dyDescent="0.25">
      <c r="L40" s="17"/>
      <c r="M40" s="17"/>
    </row>
    <row r="41" spans="1:13" x14ac:dyDescent="0.25">
      <c r="L41" s="29"/>
      <c r="M41" s="17"/>
    </row>
    <row r="42" spans="1:13" x14ac:dyDescent="0.25">
      <c r="L42" s="17"/>
      <c r="M42" s="17"/>
    </row>
    <row r="43" spans="1:13" x14ac:dyDescent="0.25">
      <c r="L43" s="17"/>
      <c r="M43" s="17"/>
    </row>
    <row r="44" spans="1:13" x14ac:dyDescent="0.25">
      <c r="L44" s="17"/>
      <c r="M44" s="17"/>
    </row>
    <row r="45" spans="1:13" x14ac:dyDescent="0.25">
      <c r="L45" s="17"/>
      <c r="M45" s="17"/>
    </row>
    <row r="46" spans="1:13" x14ac:dyDescent="0.25">
      <c r="L46" s="17"/>
      <c r="M46" s="17"/>
    </row>
    <row r="47" spans="1:13" x14ac:dyDescent="0.25">
      <c r="L47" s="17"/>
      <c r="M47" s="17"/>
    </row>
    <row r="48" spans="1:13" x14ac:dyDescent="0.25">
      <c r="L48" s="17"/>
      <c r="M48" s="17"/>
    </row>
    <row r="49" spans="12:13" x14ac:dyDescent="0.25">
      <c r="L49" s="17"/>
      <c r="M49" s="17"/>
    </row>
    <row r="50" spans="12:13" x14ac:dyDescent="0.25">
      <c r="L50" s="17"/>
      <c r="M50" s="17"/>
    </row>
    <row r="51" spans="12:13" x14ac:dyDescent="0.25">
      <c r="L51" s="17"/>
      <c r="M51" s="17"/>
    </row>
    <row r="52" spans="12:13" x14ac:dyDescent="0.25">
      <c r="L52" s="17"/>
      <c r="M52" s="17"/>
    </row>
    <row r="53" spans="12:13" x14ac:dyDescent="0.25">
      <c r="L53" s="17"/>
      <c r="M53" s="17"/>
    </row>
    <row r="54" spans="12:13" x14ac:dyDescent="0.25">
      <c r="L54" s="17"/>
      <c r="M54" s="17"/>
    </row>
    <row r="55" spans="12:13" x14ac:dyDescent="0.25">
      <c r="L55" s="17"/>
      <c r="M55" s="17"/>
    </row>
    <row r="56" spans="12:13" x14ac:dyDescent="0.25">
      <c r="L56" s="17"/>
      <c r="M56" s="17"/>
    </row>
    <row r="57" spans="12:13" x14ac:dyDescent="0.25">
      <c r="L57" s="17"/>
      <c r="M57" s="17"/>
    </row>
    <row r="58" spans="12:13" x14ac:dyDescent="0.25">
      <c r="L58" s="17"/>
      <c r="M58" s="17"/>
    </row>
  </sheetData>
  <mergeCells count="2">
    <mergeCell ref="L9:M9"/>
    <mergeCell ref="L21:N21"/>
  </mergeCells>
  <phoneticPr fontId="7" type="noConversion"/>
  <pageMargins left="0.7" right="0.7" top="0.75" bottom="0.75" header="0.3" footer="0.3"/>
  <pageSetup paperSize="9" orientation="portrait" r:id="rId1"/>
  <drawing r:id="rId2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Dataset</vt:lpstr>
      <vt:lpstr>Summary of Sales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Parkavi Thirumal</cp:lastModifiedBy>
  <dcterms:created xsi:type="dcterms:W3CDTF">2026-09-12T21:28:51Z</dcterms:created>
  <dcterms:modified xsi:type="dcterms:W3CDTF">2026-09-13T20:41:54Z</dcterms:modified>
</cp:coreProperties>
</file>